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YBEKTAS\Desktop\Python\Projeler\19-KodluyoruzFrontend\kodlar\okulSinav\"/>
    </mc:Choice>
  </mc:AlternateContent>
  <bookViews>
    <workbookView xWindow="0" yWindow="0" windowWidth="23040" windowHeight="9216"/>
  </bookViews>
  <sheets>
    <sheet name="yansıtılacak" sheetId="2" r:id="rId1"/>
  </sheets>
  <definedNames>
    <definedName name="_xlnm.Print_Area" localSheetId="0">yansıtılacak!$A$1:$B$24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2" l="1"/>
  <c r="C24" i="2" l="1"/>
  <c r="C8" i="2" l="1"/>
  <c r="C13" i="2"/>
  <c r="C15" i="2" s="1"/>
</calcChain>
</file>

<file path=xl/sharedStrings.xml><?xml version="1.0" encoding="utf-8"?>
<sst xmlns="http://schemas.openxmlformats.org/spreadsheetml/2006/main" count="25" uniqueCount="25">
  <si>
    <t>TARİH</t>
  </si>
  <si>
    <t>SINAV ADI</t>
  </si>
  <si>
    <t>Sınav başladıktan sonra adayın sınavdan çıkmasına izin verilmeyecektir.</t>
  </si>
  <si>
    <t>Sınav A ve B grubu şeklindedir.</t>
  </si>
  <si>
    <t>Her testteki doğru cevaplarınızın sayısından yanlış cevaplarınızın sayısının DÖRTTE BİRİ çıkarılacak ve kalan sayı o bölümle ilgili ham puanınız olacaktır.</t>
  </si>
  <si>
    <t>SINIF-ŞUBE</t>
  </si>
  <si>
    <t>ÖĞRENCİ NO</t>
  </si>
  <si>
    <t xml:space="preserve">TC NO </t>
  </si>
  <si>
    <t>KİTAPÇIK TÜRÜ</t>
  </si>
  <si>
    <t>MEB/OKUL KODU VE ALAN BOŞ BIRAKILACAK</t>
  </si>
  <si>
    <t xml:space="preserve">SINAV KODU   </t>
  </si>
  <si>
    <t>2020-2021 EĞİTİM ÖĞRETİM YILI II. DÖNEM</t>
  </si>
  <si>
    <t>Soru kitapçıkları ÖĞRENCİDE KALACAK</t>
  </si>
  <si>
    <t>SAAT</t>
  </si>
  <si>
    <t>KALAN SÜRE</t>
  </si>
  <si>
    <t>BAŞLAMA</t>
  </si>
  <si>
    <t>BİTİŞ</t>
  </si>
  <si>
    <t>ÖZEL İZMİR ATATÜRK ORGANİZE SANAYİ BÖLGESİ  
NEDİM UYSAL MESLEKİ VE TEKNİK ANADOLU LİSESİ</t>
  </si>
  <si>
    <t>KUVARS TYT</t>
  </si>
  <si>
    <t>SINAV KURALLARI</t>
  </si>
  <si>
    <t>DOLDURULMASI ZORUNLU ALANLAR</t>
  </si>
  <si>
    <t>SUBELER</t>
  </si>
  <si>
    <t>KİTAPÇIK
 KODLAMA</t>
  </si>
  <si>
    <t>SINAV 
KURALLARI</t>
  </si>
  <si>
    <t>12. Sınıf ; 11. Sınıf ; 10. Sınıf ; 9. Sınıf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</si>
</sst>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hh:mm;@"/>
    <numFmt numFmtId="166" formatCode="[$-F800]dddd\,\ mmmm\ dd\,\ yyyy"/>
  </numFmts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b/>
      <sz val="19"/>
      <color rgb="FFFF0000"/>
      <name val="Calibri"/>
      <family val="2"/>
      <charset val="162"/>
      <scheme val="minor"/>
    </font>
    <font>
      <b/>
      <sz val="19"/>
      <name val="Calibri"/>
      <family val="2"/>
      <charset val="162"/>
      <scheme val="minor"/>
    </font>
    <font>
      <b/>
      <sz val="23"/>
      <color theme="1"/>
      <name val="Calibri"/>
      <family val="2"/>
      <charset val="162"/>
      <scheme val="minor"/>
    </font>
    <font>
      <b/>
      <i/>
      <sz val="19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sz val="20"/>
      <color theme="1"/>
      <name val="Calibri"/>
      <family val="2"/>
      <charset val="162"/>
      <scheme val="minor"/>
    </font>
    <font>
      <b/>
      <sz val="26"/>
      <color theme="1"/>
      <name val="Calibri"/>
      <family val="2"/>
      <charset val="162"/>
      <scheme val="minor"/>
    </font>
    <font>
      <sz val="19"/>
      <color rgb="FFFF0000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C5C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DFDF"/>
        <bgColor indexed="64"/>
      </patternFill>
    </fill>
    <fill>
      <patternFill patternType="solid">
        <fgColor rgb="FFF2F8EE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90">
    <xf numFmtId="0" fontId="0" fillId="0" borderId="0" xfId="0"/>
    <xf numFmtId="0" fontId="2" fillId="0" borderId="0" xfId="0" applyFont="1"/>
    <xf numFmtId="0" fontId="5" fillId="0" borderId="0" xfId="0" applyFont="1"/>
    <xf numFmtId="22" fontId="5" fillId="0" borderId="0" xfId="0" applyNumberFormat="1" applyFont="1"/>
    <xf numFmtId="49" fontId="5" fillId="0" borderId="0" xfId="0" applyNumberFormat="1" applyFont="1"/>
    <xf numFmtId="164" fontId="2" fillId="0" borderId="0" xfId="0" applyNumberFormat="1" applyFont="1"/>
    <xf numFmtId="0" fontId="0" fillId="0" borderId="0" xfId="0" applyBorder="1"/>
    <xf numFmtId="0" fontId="2" fillId="7" borderId="0" xfId="0" applyFont="1" applyFill="1" applyBorder="1"/>
    <xf numFmtId="0" fontId="2" fillId="7" borderId="4" xfId="0" applyFont="1" applyFill="1" applyBorder="1"/>
    <xf numFmtId="15" fontId="6" fillId="0" borderId="23" xfId="0" applyNumberFormat="1" applyFont="1" applyFill="1" applyBorder="1" applyAlignment="1">
      <alignment horizontal="left" vertical="center" wrapText="1" indent="2"/>
    </xf>
    <xf numFmtId="0" fontId="6" fillId="0" borderId="24" xfId="0" applyFont="1" applyFill="1" applyBorder="1" applyAlignment="1">
      <alignment horizontal="left" indent="2"/>
    </xf>
    <xf numFmtId="15" fontId="4" fillId="0" borderId="24" xfId="0" applyNumberFormat="1" applyFont="1" applyFill="1" applyBorder="1" applyAlignment="1">
      <alignment horizontal="left" vertical="center" wrapText="1" indent="2"/>
    </xf>
    <xf numFmtId="0" fontId="9" fillId="4" borderId="8" xfId="0" applyFont="1" applyFill="1" applyBorder="1" applyAlignment="1">
      <alignment vertical="center"/>
    </xf>
    <xf numFmtId="0" fontId="5" fillId="4" borderId="7" xfId="0" applyFont="1" applyFill="1" applyBorder="1" applyAlignment="1">
      <alignment vertical="center"/>
    </xf>
    <xf numFmtId="15" fontId="3" fillId="4" borderId="8" xfId="0" applyNumberFormat="1" applyFont="1" applyFill="1" applyBorder="1" applyAlignment="1">
      <alignment horizontal="center" vertical="center"/>
    </xf>
    <xf numFmtId="0" fontId="9" fillId="0" borderId="26" xfId="0" applyFont="1" applyFill="1" applyBorder="1"/>
    <xf numFmtId="164" fontId="2" fillId="0" borderId="0" xfId="0" applyNumberFormat="1" applyFont="1"/>
    <xf numFmtId="0" fontId="11" fillId="0" borderId="27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29" xfId="0" applyFont="1" applyBorder="1" applyAlignment="1">
      <alignment horizontal="left" vertical="center" wrapText="1"/>
    </xf>
    <xf numFmtId="166" fontId="5" fillId="4" borderId="20" xfId="0" applyNumberFormat="1" applyFont="1" applyFill="1" applyBorder="1" applyAlignment="1">
      <alignment horizontal="center" vertical="center" wrapText="1"/>
    </xf>
    <xf numFmtId="166" fontId="5" fillId="4" borderId="21" xfId="0" applyNumberFormat="1" applyFont="1" applyFill="1" applyBorder="1" applyAlignment="1">
      <alignment horizontal="center" vertical="center" wrapText="1"/>
    </xf>
    <xf numFmtId="166" fontId="5" fillId="4" borderId="22" xfId="0" applyNumberFormat="1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18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25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5" borderId="19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165" fontId="2" fillId="9" borderId="1" xfId="0" applyNumberFormat="1" applyFont="1" applyFill="1" applyBorder="1" applyAlignment="1">
      <alignment horizontal="center" vertical="center"/>
    </xf>
    <xf numFmtId="165" fontId="2" fillId="9" borderId="2" xfId="0" applyNumberFormat="1" applyFont="1" applyFill="1" applyBorder="1" applyAlignment="1">
      <alignment horizontal="center" vertical="center"/>
    </xf>
    <xf numFmtId="165" fontId="2" fillId="9" borderId="3" xfId="0" applyNumberFormat="1" applyFont="1" applyFill="1" applyBorder="1" applyAlignment="1">
      <alignment horizontal="center" vertical="center"/>
    </xf>
    <xf numFmtId="165" fontId="2" fillId="9" borderId="4" xfId="0" applyNumberFormat="1" applyFont="1" applyFill="1" applyBorder="1" applyAlignment="1">
      <alignment horizontal="center" vertical="center"/>
    </xf>
    <xf numFmtId="165" fontId="2" fillId="8" borderId="1" xfId="0" applyNumberFormat="1" applyFont="1" applyFill="1" applyBorder="1" applyAlignment="1">
      <alignment horizontal="center" vertical="center"/>
    </xf>
    <xf numFmtId="165" fontId="2" fillId="8" borderId="2" xfId="0" applyNumberFormat="1" applyFont="1" applyFill="1" applyBorder="1" applyAlignment="1">
      <alignment horizontal="center" vertical="center"/>
    </xf>
    <xf numFmtId="165" fontId="2" fillId="8" borderId="3" xfId="0" applyNumberFormat="1" applyFont="1" applyFill="1" applyBorder="1" applyAlignment="1">
      <alignment horizontal="center" vertical="center"/>
    </xf>
    <xf numFmtId="165" fontId="2" fillId="8" borderId="4" xfId="0" applyNumberFormat="1" applyFont="1" applyFill="1" applyBorder="1" applyAlignment="1">
      <alignment horizontal="center" vertical="center"/>
    </xf>
    <xf numFmtId="165" fontId="5" fillId="0" borderId="17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" fontId="5" fillId="0" borderId="18" xfId="0" applyNumberFormat="1" applyFont="1" applyBorder="1" applyAlignment="1">
      <alignment horizontal="center"/>
    </xf>
    <xf numFmtId="1" fontId="5" fillId="0" borderId="16" xfId="0" applyNumberFormat="1" applyFont="1" applyBorder="1" applyAlignment="1">
      <alignment horizontal="center"/>
    </xf>
    <xf numFmtId="15" fontId="6" fillId="3" borderId="12" xfId="0" applyNumberFormat="1" applyFont="1" applyFill="1" applyBorder="1" applyAlignment="1">
      <alignment horizontal="center" wrapText="1"/>
    </xf>
    <xf numFmtId="15" fontId="6" fillId="3" borderId="25" xfId="0" applyNumberFormat="1" applyFont="1" applyFill="1" applyBorder="1" applyAlignment="1">
      <alignment horizontal="center" wrapText="1"/>
    </xf>
    <xf numFmtId="0" fontId="2" fillId="3" borderId="20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18" xfId="0" applyNumberFormat="1" applyFont="1" applyBorder="1" applyAlignment="1">
      <alignment horizontal="center"/>
    </xf>
    <xf numFmtId="164" fontId="12" fillId="0" borderId="16" xfId="0" applyNumberFormat="1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5" fillId="8" borderId="18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 textRotation="45" wrapText="1"/>
    </xf>
    <xf numFmtId="0" fontId="10" fillId="0" borderId="3" xfId="0" applyFont="1" applyBorder="1" applyAlignment="1">
      <alignment horizontal="center" vertical="center" textRotation="45" wrapText="1"/>
    </xf>
    <xf numFmtId="0" fontId="10" fillId="0" borderId="11" xfId="0" applyFont="1" applyBorder="1" applyAlignment="1">
      <alignment horizontal="center" vertical="center" textRotation="45" wrapText="1"/>
    </xf>
    <xf numFmtId="164" fontId="5" fillId="0" borderId="13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4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7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textRotation="45" wrapText="1"/>
    </xf>
    <xf numFmtId="0" fontId="10" fillId="0" borderId="24" xfId="0" applyFont="1" applyBorder="1" applyAlignment="1">
      <alignment horizontal="center" vertical="center" textRotation="45" wrapText="1"/>
    </xf>
    <xf numFmtId="0" fontId="10" fillId="0" borderId="26" xfId="0" applyFont="1" applyBorder="1" applyAlignment="1">
      <alignment horizontal="center" vertical="center" textRotation="45" wrapText="1"/>
    </xf>
  </cellXfs>
  <cellStyles count="2">
    <cellStyle name="Normal" xfId="0" builtinId="0"/>
    <cellStyle name="Normal 3" xfId="1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DFDF"/>
      <color rgb="FFF2F8EE"/>
      <color rgb="FFED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1230086</xdr:colOff>
      <xdr:row>0</xdr:row>
      <xdr:rowOff>87086</xdr:rowOff>
    </xdr:from>
    <xdr:to>
      <xdr:col>1</xdr:col>
      <xdr:colOff>2242457</xdr:colOff>
      <xdr:row>5</xdr:row>
      <xdr:rowOff>76200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87086"/>
          <a:ext cx="1012371" cy="1012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>
    <pageSetUpPr fitToPage="1"/>
  </sheetPr>
  <dimension ref="A1:M26"/>
  <sheetViews>
    <sheetView tabSelected="1" zoomScale="55" zoomScaleNormal="55" workbookViewId="0">
      <selection activeCell="C13" sqref="C13:G14"/>
    </sheetView>
  </sheetViews>
  <sheetFormatPr defaultRowHeight="14.4" x14ac:dyDescent="0.3"/>
  <cols>
    <col min="1" max="1" width="32" customWidth="1"/>
    <col min="2" max="2" width="145.109375" bestFit="1" customWidth="1"/>
    <col min="3" max="3" width="22" bestFit="1" customWidth="1"/>
    <col min="7" max="7" width="10" customWidth="1"/>
    <col min="8" max="8" width="33.33203125" bestFit="1" customWidth="1"/>
    <col min="10" max="10" width="17.21875" bestFit="1" customWidth="1"/>
    <col min="13" max="13" width="14.88671875" bestFit="1" customWidth="1"/>
  </cols>
  <sheetData>
    <row r="1" spans="1:8" ht="14.4" customHeight="1" x14ac:dyDescent="0.3">
      <c r="A1" s="26" t="s">
        <v>17</v>
      </c>
      <c r="B1" s="27"/>
      <c r="C1" s="27"/>
      <c r="D1" s="27"/>
      <c r="E1" s="27"/>
      <c r="F1" s="27"/>
      <c r="G1" s="28"/>
    </row>
    <row r="2" spans="1:8" ht="14.4" customHeight="1" x14ac:dyDescent="0.3">
      <c r="A2" s="29"/>
      <c r="B2" s="30"/>
      <c r="C2" s="30"/>
      <c r="D2" s="30"/>
      <c r="E2" s="30"/>
      <c r="F2" s="30"/>
      <c r="G2" s="31"/>
    </row>
    <row r="3" spans="1:8" ht="19.8" customHeight="1" x14ac:dyDescent="0.3">
      <c r="A3" s="29"/>
      <c r="B3" s="30"/>
      <c r="C3" s="30"/>
      <c r="D3" s="30"/>
      <c r="E3" s="30"/>
      <c r="F3" s="30"/>
      <c r="G3" s="31"/>
    </row>
    <row r="4" spans="1:8" ht="17.399999999999999" customHeight="1" x14ac:dyDescent="0.3">
      <c r="A4" s="29"/>
      <c r="B4" s="30"/>
      <c r="C4" s="30"/>
      <c r="D4" s="30"/>
      <c r="E4" s="30"/>
      <c r="F4" s="30"/>
      <c r="G4" s="31"/>
    </row>
    <row r="5" spans="1:8" ht="14.4" customHeight="1" x14ac:dyDescent="0.3">
      <c r="A5" s="29"/>
      <c r="B5" s="30"/>
      <c r="C5" s="30"/>
      <c r="D5" s="30"/>
      <c r="E5" s="30"/>
      <c r="F5" s="30"/>
      <c r="G5" s="31"/>
    </row>
    <row r="6" spans="1:8" ht="14.4" customHeight="1" thickBot="1" x14ac:dyDescent="0.35">
      <c r="A6" s="32"/>
      <c r="B6" s="33"/>
      <c r="C6" s="33"/>
      <c r="D6" s="33"/>
      <c r="E6" s="33"/>
      <c r="F6" s="33"/>
      <c r="G6" s="34"/>
    </row>
    <row r="7" spans="1:8" s="2" customFormat="1" ht="29.4" customHeight="1" thickBot="1" x14ac:dyDescent="0.6">
      <c r="A7" s="35" t="s">
        <v>11</v>
      </c>
      <c r="B7" s="36"/>
      <c r="C7" s="23" t="s">
        <v>0</v>
      </c>
      <c r="D7" s="24"/>
      <c r="E7" s="24"/>
      <c r="F7" s="24"/>
      <c r="G7" s="25"/>
      <c r="H7" s="3"/>
    </row>
    <row r="8" spans="1:8" s="2" customFormat="1" ht="30" thickBot="1" x14ac:dyDescent="0.6">
      <c r="A8" s="37"/>
      <c r="B8" s="38"/>
      <c r="C8" s="20">
        <f ca="1">TODAY()</f>
        <v>44361</v>
      </c>
      <c r="D8" s="21"/>
      <c r="E8" s="21"/>
      <c r="F8" s="21"/>
      <c r="G8" s="22"/>
      <c r="H8" s="4"/>
    </row>
    <row r="9" spans="1:8" s="2" customFormat="1" ht="29.4" x14ac:dyDescent="0.55000000000000004">
      <c r="A9" s="13" t="s">
        <v>1</v>
      </c>
      <c r="B9" s="12" t="s">
        <v>18</v>
      </c>
      <c r="C9" s="43" t="s">
        <v>15</v>
      </c>
      <c r="D9" s="44"/>
      <c r="E9" s="6"/>
      <c r="F9" s="47" t="s">
        <v>16</v>
      </c>
      <c r="G9" s="48"/>
    </row>
    <row r="10" spans="1:8" s="1" customFormat="1" ht="30" thickBot="1" x14ac:dyDescent="0.55000000000000004">
      <c r="A10" s="13" t="s">
        <v>21</v>
      </c>
      <c r="B10" s="12" t="s">
        <v>24</v>
      </c>
      <c r="C10" s="45"/>
      <c r="D10" s="46"/>
      <c r="E10" s="6"/>
      <c r="F10" s="49"/>
      <c r="G10" s="50"/>
    </row>
    <row r="11" spans="1:8" s="1" customFormat="1" ht="28.2" customHeight="1" x14ac:dyDescent="0.5">
      <c r="A11" s="13"/>
      <c r="B11" s="14"/>
      <c r="C11" s="51">
        <v>0.64583333333333337</v>
      </c>
      <c r="D11" s="52"/>
      <c r="E11" s="6"/>
      <c r="F11" s="55">
        <v>0.70416666666666661</v>
      </c>
      <c r="G11" s="56"/>
    </row>
    <row r="12" spans="1:8" s="1" customFormat="1" ht="26.4" customHeight="1" thickBot="1" x14ac:dyDescent="0.55000000000000004">
      <c r="A12" s="65" t="s">
        <v>20</v>
      </c>
      <c r="B12" s="66"/>
      <c r="C12" s="53"/>
      <c r="D12" s="54"/>
      <c r="E12" s="6"/>
      <c r="F12" s="57"/>
      <c r="G12" s="58"/>
    </row>
    <row r="13" spans="1:8" s="1" customFormat="1" ht="36.6" customHeight="1" x14ac:dyDescent="0.5">
      <c r="A13" s="75" t="s">
        <v>22</v>
      </c>
      <c r="B13" s="9" t="s">
        <v>5</v>
      </c>
      <c r="C13" s="59">
        <f>(F11-C11)</f>
        <v>5.8333333333333237E-2</v>
      </c>
      <c r="D13" s="59"/>
      <c r="E13" s="59"/>
      <c r="F13" s="59"/>
      <c r="G13" s="60"/>
    </row>
    <row r="14" spans="1:8" s="1" customFormat="1" ht="25.8" customHeight="1" x14ac:dyDescent="0.5">
      <c r="A14" s="76"/>
      <c r="B14" s="10" t="s">
        <v>6</v>
      </c>
      <c r="C14" s="61"/>
      <c r="D14" s="61"/>
      <c r="E14" s="61"/>
      <c r="F14" s="61"/>
      <c r="G14" s="62"/>
    </row>
    <row r="15" spans="1:8" s="1" customFormat="1" ht="30" thickBot="1" x14ac:dyDescent="0.6">
      <c r="A15" s="76"/>
      <c r="B15" s="10" t="s">
        <v>7</v>
      </c>
      <c r="C15" s="63" t="str">
        <f>CONCATENATE("SINAV : ",HOUR(C13)*60+MINUTE(C13)," dakika")</f>
        <v>SINAV : 84 dakika</v>
      </c>
      <c r="D15" s="63"/>
      <c r="E15" s="63"/>
      <c r="F15" s="63"/>
      <c r="G15" s="64"/>
    </row>
    <row r="16" spans="1:8" s="1" customFormat="1" ht="25.8" x14ac:dyDescent="0.5">
      <c r="A16" s="76"/>
      <c r="B16" s="10" t="s">
        <v>8</v>
      </c>
      <c r="C16" s="7"/>
      <c r="D16" s="7"/>
      <c r="E16" s="7"/>
      <c r="F16" s="7"/>
      <c r="G16" s="8"/>
    </row>
    <row r="17" spans="1:13" s="1" customFormat="1" ht="25.8" x14ac:dyDescent="0.5">
      <c r="A17" s="76"/>
      <c r="B17" s="10" t="s">
        <v>10</v>
      </c>
      <c r="C17" s="39" t="s">
        <v>13</v>
      </c>
      <c r="D17" s="39"/>
      <c r="E17" s="39"/>
      <c r="F17" s="39"/>
      <c r="G17" s="40"/>
      <c r="M17" s="16"/>
    </row>
    <row r="18" spans="1:13" s="1" customFormat="1" ht="25.8" x14ac:dyDescent="0.5">
      <c r="A18" s="76"/>
      <c r="B18" s="11" t="s">
        <v>9</v>
      </c>
      <c r="C18" s="41"/>
      <c r="D18" s="41"/>
      <c r="E18" s="41"/>
      <c r="F18" s="41"/>
      <c r="G18" s="42"/>
      <c r="H18" s="5"/>
    </row>
    <row r="19" spans="1:13" s="1" customFormat="1" ht="26.4" thickBot="1" x14ac:dyDescent="0.55000000000000004">
      <c r="A19" s="77"/>
      <c r="B19" s="15"/>
      <c r="C19" s="78">
        <v>0.70430555555555552</v>
      </c>
      <c r="D19" s="78"/>
      <c r="E19" s="78"/>
      <c r="F19" s="78"/>
      <c r="G19" s="79"/>
    </row>
    <row r="20" spans="1:13" s="1" customFormat="1" ht="26.4" thickBot="1" x14ac:dyDescent="0.55000000000000004">
      <c r="A20" s="67" t="s">
        <v>19</v>
      </c>
      <c r="B20" s="68"/>
      <c r="C20" s="80"/>
      <c r="D20" s="81"/>
      <c r="E20" s="81"/>
      <c r="F20" s="81"/>
      <c r="G20" s="82"/>
    </row>
    <row r="21" spans="1:13" s="1" customFormat="1" ht="25.8" x14ac:dyDescent="0.5">
      <c r="A21" s="87" t="s">
        <v>23</v>
      </c>
      <c r="B21" s="17" t="s">
        <v>12</v>
      </c>
      <c r="C21" s="83" t="s">
        <v>14</v>
      </c>
      <c r="D21" s="84"/>
      <c r="E21" s="84"/>
      <c r="F21" s="84"/>
      <c r="G21" s="85"/>
    </row>
    <row r="22" spans="1:13" s="1" customFormat="1" ht="25.8" x14ac:dyDescent="0.5">
      <c r="A22" s="88"/>
      <c r="B22" s="18" t="s">
        <v>2</v>
      </c>
      <c r="C22" s="86"/>
      <c r="D22" s="41"/>
      <c r="E22" s="41"/>
      <c r="F22" s="41"/>
      <c r="G22" s="42"/>
    </row>
    <row r="23" spans="1:13" s="1" customFormat="1" ht="35.4" customHeight="1" thickBot="1" x14ac:dyDescent="0.75">
      <c r="A23" s="88"/>
      <c r="B23" s="18" t="s">
        <v>3</v>
      </c>
      <c r="C23" s="69" t="str">
        <f>IF(AND(C19&gt;C11,C19&lt;F11),F11-TIMEVALUE(CONCATENATE(HOUR(C19),":",MINUTE(C19))),(IF(AND(C19&gt;F11,C19&gt;C11),"SINAV BİTMİŞTİR","Sınav Henüz Başlamadı")))</f>
        <v>SINAV BİTMİŞTİR</v>
      </c>
      <c r="D23" s="70"/>
      <c r="E23" s="70"/>
      <c r="F23" s="70"/>
      <c r="G23" s="71"/>
    </row>
    <row r="24" spans="1:13" s="1" customFormat="1" ht="51" thickBot="1" x14ac:dyDescent="0.6">
      <c r="A24" s="88"/>
      <c r="B24" s="18" t="s">
        <v>4</v>
      </c>
      <c r="C24" s="72" t="str">
        <f>IFERROR(CONCATENATE("KALAN : ",HOUR(C23)*60+MINUTE(C23)," dakika"),"")</f>
        <v/>
      </c>
      <c r="D24" s="73"/>
      <c r="E24" s="73"/>
      <c r="F24" s="73"/>
      <c r="G24" s="74"/>
    </row>
    <row r="25" spans="1:13" ht="25.2" x14ac:dyDescent="0.3">
      <c r="A25" s="88"/>
      <c r="B25" s="18"/>
    </row>
    <row r="26" spans="1:13" ht="25.8" thickBot="1" x14ac:dyDescent="0.35">
      <c r="A26" s="89"/>
      <c r="B26" s="19"/>
    </row>
  </sheetData>
  <mergeCells count="19">
    <mergeCell ref="A20:B20"/>
    <mergeCell ref="C23:G23"/>
    <mergeCell ref="C24:G24"/>
    <mergeCell ref="A13:A19"/>
    <mergeCell ref="C19:G20"/>
    <mergeCell ref="C21:G22"/>
    <mergeCell ref="A21:A26"/>
    <mergeCell ref="C8:G8"/>
    <mergeCell ref="C7:G7"/>
    <mergeCell ref="A1:G6"/>
    <mergeCell ref="A7:B8"/>
    <mergeCell ref="C17:G18"/>
    <mergeCell ref="C9:D10"/>
    <mergeCell ref="F9:G10"/>
    <mergeCell ref="C11:D12"/>
    <mergeCell ref="F11:G12"/>
    <mergeCell ref="C13:G14"/>
    <mergeCell ref="C15:G15"/>
    <mergeCell ref="A12:B12"/>
  </mergeCells>
  <conditionalFormatting sqref="C23:G24">
    <cfRule type="cellIs" dxfId="0" priority="1" operator="lessThan">
      <formula>"00:010:00"</formula>
    </cfRule>
  </conditionalFormatting>
  <pageMargins left="0" right="0" top="0.39370078740157483" bottom="0" header="0.31496062992125984" footer="0.31496062992125984"/>
  <pageSetup paperSize="9" scale="8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yansıtılacak</vt:lpstr>
      <vt:lpstr>yansıtılacak!Yazdırma_Alanı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Sibel AKSU</dc:creator>
  <cp:lastModifiedBy>Yavuz BEKTAS</cp:lastModifiedBy>
  <cp:lastPrinted>2021-06-11T05:11:01Z</cp:lastPrinted>
  <dcterms:created xsi:type="dcterms:W3CDTF">2018-08-27T12:06:42Z</dcterms:created>
  <dcterms:modified xsi:type="dcterms:W3CDTF">2021-06-14T13:54:14Z</dcterms:modified>
</cp:coreProperties>
</file>